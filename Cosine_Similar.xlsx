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Project\skripsi\rekomendasi_makanan\"/>
    </mc:Choice>
  </mc:AlternateContent>
  <xr:revisionPtr revIDLastSave="0" documentId="13_ncr:1_{D2D921DF-61A6-426A-BE4A-B72AD0F6EB1A}" xr6:coauthVersionLast="47" xr6:coauthVersionMax="47" xr10:uidLastSave="{00000000-0000-0000-0000-000000000000}"/>
  <bookViews>
    <workbookView xWindow="-108" yWindow="-108" windowWidth="23256" windowHeight="12456" activeTab="2" xr2:uid="{4EF487BD-E478-43AA-954B-295E08A9EFD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L8" i="2"/>
  <c r="L7" i="2"/>
  <c r="L6" i="2"/>
  <c r="L5" i="2"/>
  <c r="L4" i="2"/>
  <c r="G3" i="3"/>
  <c r="K8" i="2"/>
  <c r="K4" i="2"/>
  <c r="K5" i="2"/>
  <c r="K7" i="2"/>
  <c r="K6" i="2"/>
  <c r="J8" i="2"/>
  <c r="J7" i="2"/>
  <c r="J6" i="2"/>
  <c r="J5" i="2"/>
  <c r="J4" i="2"/>
  <c r="I8" i="2"/>
  <c r="I7" i="2"/>
  <c r="I6" i="2"/>
  <c r="I5" i="2"/>
  <c r="I4" i="2"/>
  <c r="H8" i="2"/>
  <c r="H7" i="2"/>
  <c r="H6" i="2"/>
  <c r="H5" i="2"/>
  <c r="H4" i="2"/>
  <c r="G5" i="1" l="1"/>
  <c r="G3" i="1"/>
  <c r="G4" i="1"/>
</calcChain>
</file>

<file path=xl/sharedStrings.xml><?xml version="1.0" encoding="utf-8"?>
<sst xmlns="http://schemas.openxmlformats.org/spreadsheetml/2006/main" count="56" uniqueCount="41">
  <si>
    <t>pokok</t>
  </si>
  <si>
    <t>user</t>
  </si>
  <si>
    <t>PAGI</t>
  </si>
  <si>
    <t>SIANG</t>
  </si>
  <si>
    <t>MALAM</t>
  </si>
  <si>
    <t>SNACK 1</t>
  </si>
  <si>
    <t>SNACK 2</t>
  </si>
  <si>
    <t>kalori</t>
  </si>
  <si>
    <t>protein</t>
  </si>
  <si>
    <t>lemak</t>
  </si>
  <si>
    <t>karbo</t>
  </si>
  <si>
    <t>serat</t>
  </si>
  <si>
    <t>max kalori</t>
  </si>
  <si>
    <t>min kalori</t>
  </si>
  <si>
    <t>max protein</t>
  </si>
  <si>
    <t>min protein</t>
  </si>
  <si>
    <t>max lemak</t>
  </si>
  <si>
    <t>min lemak</t>
  </si>
  <si>
    <t>max karbo</t>
  </si>
  <si>
    <t>min karbo</t>
  </si>
  <si>
    <t>max serat</t>
  </si>
  <si>
    <t>min serat</t>
  </si>
  <si>
    <t>normalisasi</t>
  </si>
  <si>
    <t>Nasi</t>
  </si>
  <si>
    <t>makanan</t>
  </si>
  <si>
    <t>karbohidrat</t>
  </si>
  <si>
    <t>Ayam Goreng</t>
  </si>
  <si>
    <t>Sayur sop</t>
  </si>
  <si>
    <t>Tahu goreng</t>
  </si>
  <si>
    <t>kombinasi</t>
  </si>
  <si>
    <t>pagi</t>
  </si>
  <si>
    <t>lauk</t>
  </si>
  <si>
    <t>sayur</t>
  </si>
  <si>
    <t>sim pokok</t>
  </si>
  <si>
    <t>sim lauk</t>
  </si>
  <si>
    <t>sim sayur</t>
  </si>
  <si>
    <t>Sayur Sop</t>
  </si>
  <si>
    <t>Tahu Goreng</t>
  </si>
  <si>
    <t>avg similarity</t>
  </si>
  <si>
    <t>Cosine similarity dengan user untuk kalori pagi hari</t>
  </si>
  <si>
    <t>cosine similarity untuk lemak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</si>
</sst>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9588-7717-4017-8B81-019FD105B414}">
  <dimension ref="A1:H5"/>
  <sheetViews>
    <sheetView workbookViewId="0">
      <selection activeCell="G6" sqref="G6"/>
    </sheetView>
  </sheetViews>
  <sheetFormatPr defaultRowHeight="14.4" x14ac:dyDescent="0.3"/>
  <cols>
    <col min="1" max="1" width="16.6640625" customWidth="1"/>
    <col min="5" max="5" width="11.109375" customWidth="1"/>
    <col min="7" max="7" width="42.21875" customWidth="1"/>
    <col min="8" max="8" width="23.77734375" customWidth="1"/>
  </cols>
  <sheetData>
    <row r="1" spans="1:8" x14ac:dyDescent="0.3">
      <c r="A1" t="s">
        <v>24</v>
      </c>
      <c r="B1" t="s">
        <v>7</v>
      </c>
      <c r="C1" t="s">
        <v>8</v>
      </c>
      <c r="D1" t="s">
        <v>9</v>
      </c>
      <c r="E1" t="s">
        <v>25</v>
      </c>
      <c r="F1" t="s">
        <v>11</v>
      </c>
      <c r="G1" t="s">
        <v>39</v>
      </c>
      <c r="H1" t="s">
        <v>40</v>
      </c>
    </row>
    <row r="2" spans="1:8" x14ac:dyDescent="0.3">
      <c r="A2" t="s">
        <v>23</v>
      </c>
      <c r="B2">
        <v>0.19239373601789711</v>
      </c>
      <c r="C2">
        <v>4.0376850605652763E-2</v>
      </c>
      <c r="D2">
        <v>3.0000000000000001E-3</v>
      </c>
      <c r="E2">
        <v>0.42340425531914888</v>
      </c>
      <c r="F2">
        <v>4.3010752688172052E-3</v>
      </c>
      <c r="G2">
        <f>SUMPRODUCT(B2:F2,Sheet2!H4:L4)/(SQRT(SUMSQ(B2:F2)))*(SQRT(SUMSQ(Sheet2!H4:L4)))</f>
        <v>0.86790365279191151</v>
      </c>
      <c r="H2">
        <v>0.3</v>
      </c>
    </row>
    <row r="3" spans="1:8" s="2" customFormat="1" x14ac:dyDescent="0.3">
      <c r="A3" s="2" t="s">
        <v>26</v>
      </c>
      <c r="B3" s="2">
        <v>0.28187919463087252</v>
      </c>
      <c r="C3" s="2">
        <v>0.29515477792732159</v>
      </c>
      <c r="D3" s="2">
        <v>0.14549999999999999</v>
      </c>
      <c r="E3" s="2">
        <v>0.114468085106383</v>
      </c>
      <c r="F3" s="2">
        <v>3.0107526881720428E-2</v>
      </c>
      <c r="G3" s="2">
        <f>SUMPRODUCT(B3:F3,Sheet2!H4:L4)/(SQRT(SUMSQ(B3:F3)))*(SQRT(SUMSQ(Sheet2!H4:L4)))</f>
        <v>0.68529174032316287</v>
      </c>
      <c r="H3" s="2">
        <v>14.55</v>
      </c>
    </row>
    <row r="4" spans="1:8" x14ac:dyDescent="0.3">
      <c r="A4" t="s">
        <v>27</v>
      </c>
      <c r="B4">
        <v>2.125279642058165E-2</v>
      </c>
      <c r="C4">
        <v>1.7496635262449531E-2</v>
      </c>
      <c r="D4">
        <v>0.02</v>
      </c>
      <c r="E4">
        <v>1.063829787234043E-2</v>
      </c>
      <c r="F4">
        <v>6.4516129032258056E-3</v>
      </c>
      <c r="G4">
        <f>SUMPRODUCT(B4:F4,Sheet2!H4:L4)/(SQRT(SUMSQ(B4:F4)))*(SQRT(SUMSQ(Sheet2!H4:L4)))</f>
        <v>0.69676941240268464</v>
      </c>
      <c r="H4">
        <v>2</v>
      </c>
    </row>
    <row r="5" spans="1:8" x14ac:dyDescent="0.3">
      <c r="A5" t="s">
        <v>28</v>
      </c>
      <c r="B5">
        <v>0.1196868008948546</v>
      </c>
      <c r="C5">
        <v>0.13055181695827731</v>
      </c>
      <c r="D5">
        <v>8.5000000000000006E-2</v>
      </c>
      <c r="E5">
        <v>2.6595744680851061E-2</v>
      </c>
      <c r="F5">
        <v>2.150537634408603E-3</v>
      </c>
      <c r="G5">
        <f>SUMPRODUCT(B5:F5,Sheet2!H4:L4)/(SQRT(SUMSQ(B5:F5)))*(SQRT(SUMSQ(Sheet2!H4:L4)))</f>
        <v>0.59356379027879225</v>
      </c>
      <c r="H5">
        <v>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FA3FF-92D6-41B8-B30B-34AF900C1621}">
  <dimension ref="A1:L20"/>
  <sheetViews>
    <sheetView workbookViewId="0">
      <selection activeCell="L4" sqref="L4"/>
    </sheetView>
  </sheetViews>
  <sheetFormatPr defaultRowHeight="14.4" x14ac:dyDescent="0.3"/>
  <cols>
    <col min="1" max="1" width="18.6640625" customWidth="1"/>
    <col min="8" max="8" width="15.21875" customWidth="1"/>
    <col min="12" max="12" width="14.77734375" customWidth="1"/>
  </cols>
  <sheetData>
    <row r="1" spans="1:12" x14ac:dyDescent="0.3">
      <c r="A1">
        <v>2457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12" x14ac:dyDescent="0.3">
      <c r="A2" t="s">
        <v>1</v>
      </c>
      <c r="B2">
        <v>466.83</v>
      </c>
      <c r="C2">
        <v>700.25</v>
      </c>
      <c r="D2">
        <v>583.54</v>
      </c>
      <c r="E2">
        <v>233.42</v>
      </c>
      <c r="F2">
        <v>350.12</v>
      </c>
      <c r="H2" t="s">
        <v>22</v>
      </c>
    </row>
    <row r="3" spans="1:12" x14ac:dyDescent="0.3">
      <c r="B3" t="s">
        <v>7</v>
      </c>
      <c r="C3" t="s">
        <v>8</v>
      </c>
      <c r="D3" t="s">
        <v>9</v>
      </c>
      <c r="E3" t="s">
        <v>10</v>
      </c>
      <c r="F3" t="s">
        <v>11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 x14ac:dyDescent="0.3">
      <c r="A4" t="s">
        <v>2</v>
      </c>
      <c r="B4">
        <v>466.83</v>
      </c>
      <c r="C4">
        <v>17.510000000000002</v>
      </c>
      <c r="D4">
        <v>12.97</v>
      </c>
      <c r="E4">
        <v>70.02</v>
      </c>
      <c r="F4">
        <v>6.54</v>
      </c>
      <c r="H4">
        <f>(B4-B12)/(B11-B12)</f>
        <v>0.51323266219239372</v>
      </c>
      <c r="I4">
        <f>(C4-B14)/(B13-B14)</f>
        <v>0.2356662180349933</v>
      </c>
      <c r="J4">
        <f>(D4-B16)/(B15-B16)</f>
        <v>0.12970000000000001</v>
      </c>
      <c r="K4">
        <f>(E4-B18)/(B17-B18)</f>
        <v>0.74489361702127654</v>
      </c>
      <c r="L4">
        <f>(F4-B20)/(B19-B20)</f>
        <v>0.14064516129032259</v>
      </c>
    </row>
    <row r="5" spans="1:12" x14ac:dyDescent="0.3">
      <c r="A5" t="s">
        <v>3</v>
      </c>
      <c r="B5">
        <v>700.25</v>
      </c>
      <c r="C5">
        <v>26.26</v>
      </c>
      <c r="D5">
        <v>19.45</v>
      </c>
      <c r="E5">
        <v>105.04</v>
      </c>
      <c r="F5">
        <v>9.8000000000000007</v>
      </c>
      <c r="H5">
        <f>(B5-B12)/(B11-B12)</f>
        <v>0.77432885906040272</v>
      </c>
      <c r="I5">
        <f>(C5-B14)/(B13-B14)</f>
        <v>0.35343203230148051</v>
      </c>
      <c r="J5">
        <f>(D5-B16)/(B15-B16)</f>
        <v>0.19450000000000001</v>
      </c>
      <c r="K5">
        <f>(E5-B18)/(B17-B18)</f>
        <v>1.1174468085106384</v>
      </c>
      <c r="L5">
        <f>(F5-B20)/(B19-B20)</f>
        <v>0.21075268817204301</v>
      </c>
    </row>
    <row r="6" spans="1:12" x14ac:dyDescent="0.3">
      <c r="A6" t="s">
        <v>4</v>
      </c>
      <c r="B6">
        <v>583.54</v>
      </c>
      <c r="C6">
        <v>21.88</v>
      </c>
      <c r="D6">
        <v>16.21</v>
      </c>
      <c r="E6">
        <v>87.53</v>
      </c>
      <c r="F6">
        <v>8.17</v>
      </c>
      <c r="H6">
        <f>(B6-B12)/(B11-B12)</f>
        <v>0.64378076062639822</v>
      </c>
      <c r="I6">
        <f>(C6-B14)/(B13-B14)</f>
        <v>0.29448183041722747</v>
      </c>
      <c r="J6">
        <f>(D6-B16)/(B15-B16)</f>
        <v>0.16210000000000002</v>
      </c>
      <c r="K6">
        <f>(E6-B18)/(B17-B18)</f>
        <v>0.93117021276595746</v>
      </c>
      <c r="L6">
        <f>(F6-B20)/(B19-B20)</f>
        <v>0.17569892473118279</v>
      </c>
    </row>
    <row r="7" spans="1:12" x14ac:dyDescent="0.3">
      <c r="A7" t="s">
        <v>5</v>
      </c>
      <c r="B7">
        <v>233.42</v>
      </c>
      <c r="C7">
        <v>8.75</v>
      </c>
      <c r="D7">
        <v>6.48</v>
      </c>
      <c r="E7">
        <v>35.01</v>
      </c>
      <c r="F7">
        <v>3.27</v>
      </c>
      <c r="H7">
        <f>(B7-B12)/(B11-B12)</f>
        <v>0.25214765100671138</v>
      </c>
      <c r="I7">
        <f>(C7-B14)/(B13-B14)</f>
        <v>0.11776581426648722</v>
      </c>
      <c r="J7">
        <f>(D7-B16)/(B15-B16)</f>
        <v>6.480000000000001E-2</v>
      </c>
      <c r="K7">
        <f>(E7-B18)/(B17-B18)</f>
        <v>0.37244680851063827</v>
      </c>
      <c r="L7">
        <f>(F7-B20)/(B19-B20)</f>
        <v>7.0322580645161295E-2</v>
      </c>
    </row>
    <row r="8" spans="1:12" x14ac:dyDescent="0.3">
      <c r="A8" t="s">
        <v>6</v>
      </c>
      <c r="B8">
        <v>350.12</v>
      </c>
      <c r="C8">
        <v>13.13</v>
      </c>
      <c r="D8">
        <v>9.73</v>
      </c>
      <c r="E8">
        <v>52.52</v>
      </c>
      <c r="F8">
        <v>4.9000000000000004</v>
      </c>
      <c r="H8">
        <f>(B8-B12)/(B11-B12)</f>
        <v>0.38268456375838927</v>
      </c>
      <c r="I8">
        <f>(C8-B14)/(B13-B14)</f>
        <v>0.17671601615074026</v>
      </c>
      <c r="J8">
        <f>(D8-B16)/(B15-B16)</f>
        <v>9.7299999999999998E-2</v>
      </c>
      <c r="K8">
        <f>(E8-B18)/(B17-B18)</f>
        <v>0.55872340425531919</v>
      </c>
      <c r="L8">
        <f>(F8-B20)/(B19-B20)</f>
        <v>0.10537634408602151</v>
      </c>
    </row>
    <row r="11" spans="1:12" x14ac:dyDescent="0.3">
      <c r="A11" t="s">
        <v>12</v>
      </c>
      <c r="B11">
        <v>902</v>
      </c>
    </row>
    <row r="12" spans="1:12" x14ac:dyDescent="0.3">
      <c r="A12" t="s">
        <v>13</v>
      </c>
      <c r="B12">
        <v>8</v>
      </c>
    </row>
    <row r="13" spans="1:12" x14ac:dyDescent="0.3">
      <c r="A13" t="s">
        <v>14</v>
      </c>
      <c r="B13">
        <v>74.3</v>
      </c>
    </row>
    <row r="14" spans="1:12" x14ac:dyDescent="0.3">
      <c r="A14" t="s">
        <v>15</v>
      </c>
      <c r="B14">
        <v>0</v>
      </c>
    </row>
    <row r="15" spans="1:12" x14ac:dyDescent="0.3">
      <c r="A15" t="s">
        <v>16</v>
      </c>
      <c r="B15">
        <v>100</v>
      </c>
    </row>
    <row r="16" spans="1:12" x14ac:dyDescent="0.3">
      <c r="A16" t="s">
        <v>17</v>
      </c>
      <c r="B16">
        <v>0</v>
      </c>
    </row>
    <row r="17" spans="1:2" x14ac:dyDescent="0.3">
      <c r="A17" t="s">
        <v>18</v>
      </c>
      <c r="B17">
        <v>94</v>
      </c>
    </row>
    <row r="18" spans="1:2" x14ac:dyDescent="0.3">
      <c r="A18" t="s">
        <v>19</v>
      </c>
      <c r="B18">
        <v>0</v>
      </c>
    </row>
    <row r="19" spans="1:2" x14ac:dyDescent="0.3">
      <c r="A19" t="s">
        <v>20</v>
      </c>
      <c r="B19">
        <v>46.5</v>
      </c>
    </row>
    <row r="20" spans="1:2" x14ac:dyDescent="0.3">
      <c r="A20" t="s">
        <v>21</v>
      </c>
      <c r="B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FC4BB-8BE5-4E50-9DB9-1B8CBFD5FFBA}">
  <dimension ref="A1:G3"/>
  <sheetViews>
    <sheetView tabSelected="1" workbookViewId="0">
      <selection activeCell="Q8" sqref="Q8"/>
    </sheetView>
  </sheetViews>
  <sheetFormatPr defaultRowHeight="14.4" x14ac:dyDescent="0.3"/>
  <cols>
    <col min="2" max="2" width="13.5546875" customWidth="1"/>
    <col min="4" max="4" width="12.21875" customWidth="1"/>
    <col min="7" max="7" width="17.6640625" customWidth="1"/>
  </cols>
  <sheetData>
    <row r="1" spans="1:7" x14ac:dyDescent="0.3">
      <c r="A1" t="s">
        <v>29</v>
      </c>
      <c r="B1" t="s">
        <v>30</v>
      </c>
    </row>
    <row r="2" spans="1:7" x14ac:dyDescent="0.3">
      <c r="A2" t="s">
        <v>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38</v>
      </c>
    </row>
    <row r="3" spans="1:7" x14ac:dyDescent="0.3">
      <c r="A3" t="s">
        <v>23</v>
      </c>
      <c r="B3" t="s">
        <v>37</v>
      </c>
      <c r="C3" t="s">
        <v>36</v>
      </c>
      <c r="D3">
        <v>0.95466183199999999</v>
      </c>
      <c r="E3">
        <v>0.65271981000000001</v>
      </c>
      <c r="F3">
        <v>0.75593668800000002</v>
      </c>
      <c r="G3">
        <f>AVERAGE(D3:F3)</f>
        <v>0.78777277666666679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Fharizal renaldy</dc:creator>
  <cp:lastModifiedBy>Fharizal renaldy</cp:lastModifiedBy>
  <dcterms:created xsi:type="dcterms:W3CDTF">2025-05-28T06:33:06Z</dcterms:created>
  <dcterms:modified xsi:type="dcterms:W3CDTF">2025-06-12T12:22:51Z</dcterms:modified>
</cp:coreProperties>
</file>